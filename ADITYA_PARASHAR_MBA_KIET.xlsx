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B20BE6B-73E3-4180-89C8-E190E7B2C2C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ssumptions" sheetId="1" r:id="rId1"/>
    <sheet name="Annual P&amp;L" sheetId="2" r:id="rId2"/>
    <sheet name="DCF &amp; IRR" sheetId="3" r:id="rId3"/>
    <sheet name="Property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3" l="1"/>
  <c r="G4" i="2"/>
  <c r="B17" i="3"/>
  <c r="F10" i="3"/>
  <c r="E10" i="3"/>
  <c r="D10" i="3"/>
  <c r="C10" i="3"/>
  <c r="B10" i="3"/>
  <c r="G28" i="2"/>
  <c r="F28" i="2"/>
  <c r="E28" i="2"/>
  <c r="D28" i="2"/>
  <c r="C28" i="2"/>
  <c r="B28" i="2"/>
  <c r="G27" i="2"/>
  <c r="G26" i="2"/>
  <c r="G25" i="2"/>
  <c r="G24" i="2"/>
  <c r="G23" i="2"/>
  <c r="G22" i="2"/>
  <c r="G21" i="2"/>
  <c r="G20" i="2"/>
  <c r="G19" i="2"/>
  <c r="G18" i="2"/>
  <c r="F14" i="2"/>
  <c r="E14" i="2"/>
  <c r="D14" i="2"/>
  <c r="C14" i="2"/>
  <c r="B14" i="2"/>
  <c r="G14" i="2" s="1"/>
  <c r="G13" i="2"/>
  <c r="G12" i="2"/>
  <c r="G11" i="2"/>
  <c r="G10" i="2"/>
  <c r="G8" i="2"/>
  <c r="F8" i="2"/>
  <c r="F15" i="2" s="1"/>
  <c r="F30" i="2" s="1"/>
  <c r="E8" i="2"/>
  <c r="E15" i="2" s="1"/>
  <c r="E30" i="2" s="1"/>
  <c r="D8" i="2"/>
  <c r="D15" i="2" s="1"/>
  <c r="D30" i="2" s="1"/>
  <c r="C8" i="2"/>
  <c r="C15" i="2" s="1"/>
  <c r="C30" i="2" s="1"/>
  <c r="B8" i="2"/>
  <c r="B15" i="2" s="1"/>
  <c r="G7" i="2"/>
  <c r="G6" i="2"/>
  <c r="G5" i="2"/>
  <c r="B30" i="2" l="1"/>
  <c r="G15" i="2"/>
  <c r="C33" i="2"/>
  <c r="C7" i="3"/>
  <c r="C9" i="3" s="1"/>
  <c r="F33" i="2"/>
  <c r="F7" i="3"/>
  <c r="D33" i="2"/>
  <c r="D7" i="3"/>
  <c r="D9" i="3" s="1"/>
  <c r="E33" i="2"/>
  <c r="E7" i="3"/>
  <c r="E9" i="3" s="1"/>
  <c r="B19" i="3" l="1"/>
  <c r="C11" i="3"/>
  <c r="D11" i="3"/>
  <c r="B20" i="3"/>
  <c r="G8" i="3"/>
  <c r="F9" i="3" s="1"/>
  <c r="E11" i="3"/>
  <c r="B21" i="3"/>
  <c r="B31" i="2"/>
  <c r="C31" i="2" s="1"/>
  <c r="D31" i="2" s="1"/>
  <c r="E31" i="2" s="1"/>
  <c r="F31" i="2" s="1"/>
  <c r="G30" i="2"/>
  <c r="B33" i="2"/>
  <c r="B7" i="3"/>
  <c r="B22" i="3" l="1"/>
  <c r="F11" i="3"/>
  <c r="B9" i="3"/>
  <c r="B16" i="3"/>
  <c r="B18" i="3" l="1"/>
  <c r="B11" i="3"/>
  <c r="B13" i="3" s="1"/>
  <c r="B14" i="3" s="1"/>
</calcChain>
</file>

<file path=xl/sharedStrings.xml><?xml version="1.0" encoding="utf-8"?>
<sst xmlns="http://schemas.openxmlformats.org/spreadsheetml/2006/main" count="155" uniqueCount="141">
  <si>
    <t>PROPERTY 1 — Sector 15 Apartment, Faridabad (2 units)</t>
  </si>
  <si>
    <t>Monthly rent per unit (₹)</t>
  </si>
  <si>
    <t>2BHK, mid-range residential</t>
  </si>
  <si>
    <t>Number of units</t>
  </si>
  <si>
    <t>Both currently occupied</t>
  </si>
  <si>
    <t>Annual rent escalation (%)</t>
  </si>
  <si>
    <t>Annual property tax (₹)</t>
  </si>
  <si>
    <t>Faridabad municipal rate est.</t>
  </si>
  <si>
    <t>Annual maintenance &amp; repairs (₹)</t>
  </si>
  <si>
    <t>~₹1,500/unit/month avg</t>
  </si>
  <si>
    <t>Caretaker salary (annual ₹)</t>
  </si>
  <si>
    <t>Shared across S15 &amp; NIT5</t>
  </si>
  <si>
    <t>Vacancy allowance (%)</t>
  </si>
  <si>
    <t>1 month vacant per unit per 2 yrs</t>
  </si>
  <si>
    <t>PROPERTY 2 — DLF Phase 2 Villa, Gurugram (1 unit)</t>
  </si>
  <si>
    <t>Monthly rent (₹)</t>
  </si>
  <si>
    <t>4BHK premium villa</t>
  </si>
  <si>
    <t>Standard 5% clause</t>
  </si>
  <si>
    <t>Gurugram premium zone</t>
  </si>
  <si>
    <t>Higher upkeep for villa</t>
  </si>
  <si>
    <t>Property manager fee (annual ₹)</t>
  </si>
  <si>
    <t>₹5,500/month — 10% of rent</t>
  </si>
  <si>
    <t>Premium units re-let faster</t>
  </si>
  <si>
    <t>PROPERTY 3 — NIT 5 Commercial, Faridabad (2 shops)</t>
  </si>
  <si>
    <t>Monthly rent per shop (₹)</t>
  </si>
  <si>
    <t>Ground-floor commercial</t>
  </si>
  <si>
    <t>1 currently occupied, 1 vacant</t>
  </si>
  <si>
    <t>Commercial escalation higher</t>
  </si>
  <si>
    <t>Commercial rate</t>
  </si>
  <si>
    <t>Annual maintenance (₹)</t>
  </si>
  <si>
    <t>Lower for commercial shell</t>
  </si>
  <si>
    <t>Shared with Sector 15</t>
  </si>
  <si>
    <t>1 unit vacant — conservative</t>
  </si>
  <si>
    <t>PROPERTY 4 — Sushant Lok Studio, Gurugram (1 unit)</t>
  </si>
  <si>
    <t>Studio; currently vacant, re-letting Q2</t>
  </si>
  <si>
    <t>Standard</t>
  </si>
  <si>
    <t>Small unit, lower rate</t>
  </si>
  <si>
    <t>Refurbishment cost (₹, one-off)</t>
  </si>
  <si>
    <t>Paint, fixtures, deep clean</t>
  </si>
  <si>
    <t>Maintenance (post-refurb annual ₹)</t>
  </si>
  <si>
    <t>Lower ongoing maintenance</t>
  </si>
  <si>
    <t>~4 months vacant in Year 1</t>
  </si>
  <si>
    <t>FINANCIAL ASSUMPTIONS</t>
  </si>
  <si>
    <t>Discount rate for DCF / IRR (%)</t>
  </si>
  <si>
    <t>Cost of equity / opportunity cost</t>
  </si>
  <si>
    <t>Projection horizon (years)</t>
  </si>
  <si>
    <t>For DCF calculation</t>
  </si>
  <si>
    <t>Initial portfolio purchase cost (₹)</t>
  </si>
  <si>
    <t>Illustrative total invested capital</t>
  </si>
  <si>
    <t>Terminal cap rate (%)</t>
  </si>
  <si>
    <t>Used for terminal value calc</t>
  </si>
  <si>
    <t>Property / Line Item</t>
  </si>
  <si>
    <t>5-Yr Total</t>
  </si>
  <si>
    <t xml:space="preserve">  GROSS RENTAL INCOME  (before vacancies)</t>
  </si>
  <si>
    <t xml:space="preserve">  Sector 15 Apartment</t>
  </si>
  <si>
    <t xml:space="preserve">  DLF Phase 2 Villa</t>
  </si>
  <si>
    <t xml:space="preserve">  NIT 5 Commercial</t>
  </si>
  <si>
    <t xml:space="preserve">  Sushant Lok Studio</t>
  </si>
  <si>
    <t>TOTAL GROSS INCOME</t>
  </si>
  <si>
    <t xml:space="preserve">  VACANCY DEDUCTIONS  (lost rent)</t>
  </si>
  <si>
    <t xml:space="preserve">  Sector 15 — vacancy loss</t>
  </si>
  <si>
    <t xml:space="preserve">  DLF Villa — vacancy loss</t>
  </si>
  <si>
    <t xml:space="preserve">  NIT 5 — vacancy loss</t>
  </si>
  <si>
    <t xml:space="preserve">  Sushant Studio — vacancy loss</t>
  </si>
  <si>
    <t>TOTAL VACANCY DEDUCTIONS</t>
  </si>
  <si>
    <t>NET RENTAL INCOME</t>
  </si>
  <si>
    <t xml:space="preserve">  OPERATING EXPENSES</t>
  </si>
  <si>
    <t xml:space="preserve">  Property tax — Sector 15</t>
  </si>
  <si>
    <t xml:space="preserve">  Property tax — DLF Villa</t>
  </si>
  <si>
    <t xml:space="preserve">  Property tax — NIT 5</t>
  </si>
  <si>
    <t xml:space="preserve">  Property tax — Sushant Studio</t>
  </si>
  <si>
    <t xml:space="preserve">  Maintenance &amp; repairs — Sector 15</t>
  </si>
  <si>
    <t xml:space="preserve">  Maintenance &amp; repairs — DLF Villa</t>
  </si>
  <si>
    <t xml:space="preserve">  Maintenance &amp; repairs — NIT 5</t>
  </si>
  <si>
    <t xml:space="preserve">  Maintenance &amp; repairs — Studio</t>
  </si>
  <si>
    <t xml:space="preserve">  Caretaker salary (S15 + NIT5)</t>
  </si>
  <si>
    <t xml:space="preserve">  Property manager fee — DLF Villa</t>
  </si>
  <si>
    <t>TOTAL OPERATING EXPENSES</t>
  </si>
  <si>
    <t>NET CASH FLOW (After all costs)</t>
  </si>
  <si>
    <t>Cumulative cash flow</t>
  </si>
  <si>
    <t>Portfolio yield % (NCF ÷ ₹2.2Cr invested)</t>
  </si>
  <si>
    <t>Discount rate (r)</t>
  </si>
  <si>
    <t>Initial investment (₹)</t>
  </si>
  <si>
    <t>Item</t>
  </si>
  <si>
    <t>Terminal Value</t>
  </si>
  <si>
    <t>IRR / NPV</t>
  </si>
  <si>
    <t>Net cash flow (from P&amp;L)</t>
  </si>
  <si>
    <t>Terminal value (Year 5 NCF ÷ cap rate)</t>
  </si>
  <si>
    <t>Total cash flow incl. terminal (Year 5)</t>
  </si>
  <si>
    <t>Discount factor  1/(1+r)^n</t>
  </si>
  <si>
    <t>Present value of cash flows</t>
  </si>
  <si>
    <t>Sum of PV (cash flows + terminal)</t>
  </si>
  <si>
    <t>NPV  (PV − Initial Investment)</t>
  </si>
  <si>
    <t>Cash flow series for IRR:</t>
  </si>
  <si>
    <t>Year 0 (Initial invest.)</t>
  </si>
  <si>
    <t>Year 1</t>
  </si>
  <si>
    <t>Year 2</t>
  </si>
  <si>
    <t>Year 3</t>
  </si>
  <si>
    <t>Year 4</t>
  </si>
  <si>
    <t>Year 5 (incl. terminal)</t>
  </si>
  <si>
    <t>Portfolio IRR:</t>
  </si>
  <si>
    <t xml:space="preserve">  NPV SENSITIVITY  (Discount Rate vs Terminal Cap Rate)</t>
  </si>
  <si>
    <t>NPV (₹ lakh)  ↓ Disc. Rate  → Cap Rate</t>
  </si>
  <si>
    <t>4.5% cap</t>
  </si>
  <si>
    <t>5.0% cap</t>
  </si>
  <si>
    <t>5.5% cap</t>
  </si>
  <si>
    <t>6.0% cap</t>
  </si>
  <si>
    <t>6.5% cap</t>
  </si>
  <si>
    <t>8% disc. rate</t>
  </si>
  <si>
    <t>9% disc. rate</t>
  </si>
  <si>
    <t>10% disc. rate</t>
  </si>
  <si>
    <t>11% disc. rate</t>
  </si>
  <si>
    <t>12% disc. rate</t>
  </si>
  <si>
    <t>Metric</t>
  </si>
  <si>
    <t>Sector 15 Apartment</t>
  </si>
  <si>
    <t>DLF Phase 2 Villa</t>
  </si>
  <si>
    <t>NIT 5 Commercial</t>
  </si>
  <si>
    <t>Sushant Lok Studio</t>
  </si>
  <si>
    <t>Monthly gross rent (₹)</t>
  </si>
  <si>
    <t>Annual gross rent (₹)</t>
  </si>
  <si>
    <t>Vacancy allowance (₹)</t>
  </si>
  <si>
    <t>Net rental income (₹)</t>
  </si>
  <si>
    <t>Property tax (₹)</t>
  </si>
  <si>
    <t>Maintenance &amp; repairs (₹)</t>
  </si>
  <si>
    <t>Staff / management cost (₹)</t>
  </si>
  <si>
    <t>Total expenses (₹)</t>
  </si>
  <si>
    <t>NET CASH FLOW (₹)</t>
  </si>
  <si>
    <t>Net yield % (NCF ÷ portfolio cost)</t>
  </si>
  <si>
    <t>Occupancy rate</t>
  </si>
  <si>
    <t># Active tenants</t>
  </si>
  <si>
    <t>Status</t>
  </si>
  <si>
    <t>Fully Let</t>
  </si>
  <si>
    <t>Renew Soon</t>
  </si>
  <si>
    <t>Partially Let</t>
  </si>
  <si>
    <t>Vacant</t>
  </si>
  <si>
    <t xml:space="preserve">Blue cells = input assumptions </t>
  </si>
  <si>
    <t xml:space="preserve"> MODEL ASSUMPTIONS</t>
  </si>
  <si>
    <t>Source: Assumptions From Haryana rental market, 2025</t>
  </si>
  <si>
    <t xml:space="preserve">Rental Property - DASHBOARD </t>
  </si>
  <si>
    <t xml:space="preserve"> ANNUAL REVENUE, COSTS TABLE  &amp; NET CASH FLOW</t>
  </si>
  <si>
    <t>DCF VALUATION &amp; IRR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</si>
</sst>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;&quot;(₹&quot;#,##0\);\-"/>
    <numFmt numFmtId="165" formatCode="0.0%;\(0.0%\);\-"/>
    <numFmt numFmtId="166" formatCode="0.0000"/>
    <numFmt numFmtId="167" formatCode="0.0"/>
    <numFmt numFmtId="168" formatCode="0.00%;\(0.00%\);\-"/>
  </numFmts>
  <fonts count="26" x14ac:knownFonts="1">
    <font>
      <sz val="11"/>
      <color theme="1"/>
      <name val="Calibri"/>
      <family val="2"/>
      <charset val="1"/>
    </font>
    <font>
      <b/>
      <sz val="13"/>
      <color rgb="FFCCFBF1"/>
      <name val="Arial"/>
      <charset val="1"/>
    </font>
    <font>
      <i/>
      <sz val="9"/>
      <color rgb="FF94A3B8"/>
      <name val="Arial"/>
      <charset val="1"/>
    </font>
    <font>
      <sz val="11"/>
      <color rgb="FF000000"/>
      <name val="Arial"/>
      <charset val="1"/>
    </font>
    <font>
      <b/>
      <sz val="10"/>
      <color rgb="FF1E2B4A"/>
      <name val="Arial"/>
      <charset val="1"/>
    </font>
    <font>
      <sz val="10"/>
      <color rgb="FF374151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DC2626"/>
      <name val="Arial"/>
      <charset val="1"/>
    </font>
    <font>
      <b/>
      <sz val="10"/>
      <color rgb="FFDC2626"/>
      <name val="Arial"/>
      <charset val="1"/>
    </font>
    <font>
      <b/>
      <sz val="12"/>
      <color rgb="FFF59E0B"/>
      <name val="Arial"/>
      <charset val="1"/>
    </font>
    <font>
      <sz val="10"/>
      <color rgb="FF0D9488"/>
      <name val="Arial"/>
      <charset val="1"/>
    </font>
    <font>
      <b/>
      <sz val="10"/>
      <color rgb="FF0D9488"/>
      <name val="Arial"/>
      <charset val="1"/>
    </font>
    <font>
      <sz val="10"/>
      <color rgb="FF94A3B8"/>
      <name val="Arial"/>
      <charset val="1"/>
    </font>
    <font>
      <b/>
      <sz val="10"/>
      <color rgb="FF374151"/>
      <name val="Arial"/>
      <charset val="1"/>
    </font>
    <font>
      <b/>
      <sz val="11"/>
      <color rgb="FF059669"/>
      <name val="Arial"/>
      <charset val="1"/>
    </font>
    <font>
      <sz val="9"/>
      <color rgb="FF94A3B8"/>
      <name val="Arial"/>
      <charset val="1"/>
    </font>
    <font>
      <b/>
      <sz val="9"/>
      <color rgb="FF1E2B4A"/>
      <name val="Arial"/>
      <charset val="1"/>
    </font>
    <font>
      <b/>
      <sz val="9"/>
      <color rgb="FFFFFFFF"/>
      <name val="Arial"/>
      <charset val="1"/>
    </font>
    <font>
      <sz val="9"/>
      <color rgb="FF1E2B4A"/>
      <name val="Arial"/>
      <charset val="1"/>
    </font>
    <font>
      <sz val="9"/>
      <color rgb="FF000000"/>
      <name val="Arial"/>
      <charset val="1"/>
    </font>
    <font>
      <sz val="9"/>
      <color rgb="FFDC2626"/>
      <name val="Arial"/>
      <charset val="1"/>
    </font>
    <font>
      <b/>
      <sz val="9"/>
      <color rgb="FFDC2626"/>
      <name val="Arial"/>
      <charset val="1"/>
    </font>
    <font>
      <b/>
      <sz val="10"/>
      <color rgb="FF05966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B4A"/>
        <bgColor rgb="FF374151"/>
      </patternFill>
    </fill>
    <fill>
      <patternFill patternType="solid">
        <fgColor rgb="FFF8F7F4"/>
        <bgColor rgb="FFFEF9EE"/>
      </patternFill>
    </fill>
    <fill>
      <patternFill patternType="solid">
        <fgColor rgb="FFE8EBF0"/>
        <bgColor rgb="FFF8F7F4"/>
      </patternFill>
    </fill>
    <fill>
      <patternFill patternType="solid">
        <fgColor rgb="FF0D9488"/>
        <bgColor rgb="FF059669"/>
      </patternFill>
    </fill>
    <fill>
      <patternFill patternType="solid">
        <fgColor rgb="FFCCFBF1"/>
        <bgColor rgb="FFD1FAE5"/>
      </patternFill>
    </fill>
    <fill>
      <patternFill patternType="solid">
        <fgColor rgb="FFFEE2E2"/>
        <bgColor rgb="FFE8EBF0"/>
      </patternFill>
    </fill>
    <fill>
      <patternFill patternType="solid">
        <fgColor rgb="FFD1FAE5"/>
        <bgColor rgb="FFCCFBF1"/>
      </patternFill>
    </fill>
    <fill>
      <patternFill patternType="solid">
        <fgColor rgb="FFFEF9EE"/>
        <bgColor rgb="FFF8F7F4"/>
      </patternFill>
    </fill>
    <fill>
      <patternFill patternType="solid">
        <fgColor rgb="FF92D050"/>
        <bgColor rgb="FF374151"/>
      </patternFill>
    </fill>
    <fill>
      <patternFill patternType="solid">
        <fgColor theme="4"/>
        <bgColor rgb="FF374151"/>
      </patternFill>
    </fill>
    <fill>
      <patternFill patternType="solid">
        <fgColor rgb="FF00B0F0"/>
        <b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164" fontId="4" fillId="6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right" vertical="center"/>
    </xf>
    <xf numFmtId="0" fontId="11" fillId="7" borderId="0" xfId="0" applyFont="1" applyFill="1" applyAlignment="1">
      <alignment horizontal="left" vertical="center"/>
    </xf>
    <xf numFmtId="164" fontId="11" fillId="7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 vertical="center"/>
    </xf>
    <xf numFmtId="164" fontId="8" fillId="5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right"/>
    </xf>
    <xf numFmtId="0" fontId="17" fillId="8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right"/>
    </xf>
    <xf numFmtId="0" fontId="0" fillId="8" borderId="0" xfId="0" applyFill="1"/>
    <xf numFmtId="0" fontId="0" fillId="2" borderId="0" xfId="0" applyFill="1"/>
    <xf numFmtId="10" fontId="0" fillId="0" borderId="0" xfId="0" applyNumberFormat="1"/>
    <xf numFmtId="0" fontId="18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right"/>
    </xf>
    <xf numFmtId="165" fontId="12" fillId="2" borderId="0" xfId="0" applyNumberFormat="1" applyFont="1" applyFill="1" applyAlignment="1">
      <alignment horizontal="right"/>
    </xf>
    <xf numFmtId="0" fontId="19" fillId="0" borderId="0" xfId="0" applyFont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167" fontId="22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0" fontId="19" fillId="9" borderId="0" xfId="0" applyFont="1" applyFill="1" applyAlignment="1">
      <alignment horizontal="left" vertical="center"/>
    </xf>
    <xf numFmtId="167" fontId="24" fillId="9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0" fillId="5" borderId="0" xfId="0" applyFill="1"/>
    <xf numFmtId="164" fontId="25" fillId="6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165" fontId="9" fillId="0" borderId="0" xfId="0" applyNumberFormat="1" applyFont="1" applyAlignment="1">
      <alignment horizontal="right" vertical="center"/>
    </xf>
    <xf numFmtId="168" fontId="25" fillId="6" borderId="0" xfId="0" applyNumberFormat="1" applyFont="1" applyFill="1" applyAlignment="1">
      <alignment horizontal="righ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9EE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8EBF0"/>
      <rgbColor rgb="FFD1FAE5"/>
      <rgbColor rgb="FFF8F7F4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66699"/>
      <rgbColor rgb="FF94A3B8"/>
      <rgbColor rgb="FF1E2B4A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tabSelected="1" zoomScaleNormal="100" workbookViewId="0">
      <selection sqref="A1:D1"/>
    </sheetView>
  </sheetViews>
  <sheetFormatPr defaultColWidth="8.6328125" defaultRowHeight="14.5" x14ac:dyDescent="0.35"/>
  <cols>
    <col min="1" max="1" width="32" customWidth="1"/>
    <col min="2" max="2" width="18" customWidth="1"/>
    <col min="3" max="3" width="32" customWidth="1"/>
    <col min="4" max="4" width="35.54296875" customWidth="1"/>
  </cols>
  <sheetData>
    <row r="1" spans="1:4" ht="39.75" customHeight="1" x14ac:dyDescent="0.35">
      <c r="A1" s="67" t="s">
        <v>136</v>
      </c>
      <c r="B1" s="67"/>
      <c r="C1" s="67"/>
      <c r="D1" s="67"/>
    </row>
    <row r="2" spans="1:4" ht="18" customHeight="1" x14ac:dyDescent="0.35">
      <c r="A2" s="5" t="s">
        <v>135</v>
      </c>
      <c r="B2" s="6"/>
      <c r="C2" s="3" t="s">
        <v>137</v>
      </c>
      <c r="D2" s="3"/>
    </row>
    <row r="3" spans="1:4" ht="21.75" customHeight="1" x14ac:dyDescent="0.35">
      <c r="A3" s="2" t="s">
        <v>0</v>
      </c>
      <c r="B3" s="2"/>
      <c r="C3" s="2"/>
      <c r="D3" s="2"/>
    </row>
    <row r="4" spans="1:4" ht="18" customHeight="1" x14ac:dyDescent="0.35">
      <c r="A4" s="8" t="s">
        <v>1</v>
      </c>
      <c r="B4" s="9">
        <v>21000</v>
      </c>
      <c r="C4" s="10" t="s">
        <v>2</v>
      </c>
    </row>
    <row r="5" spans="1:4" ht="18" customHeight="1" x14ac:dyDescent="0.35">
      <c r="A5" s="8" t="s">
        <v>3</v>
      </c>
      <c r="B5" s="11">
        <v>2</v>
      </c>
      <c r="C5" s="10" t="s">
        <v>4</v>
      </c>
    </row>
    <row r="6" spans="1:4" ht="18" customHeight="1" x14ac:dyDescent="0.35">
      <c r="A6" s="8" t="s">
        <v>5</v>
      </c>
      <c r="B6" s="12">
        <v>0.05</v>
      </c>
      <c r="C6" s="10"/>
    </row>
    <row r="7" spans="1:4" ht="18" customHeight="1" x14ac:dyDescent="0.35">
      <c r="A7" s="8" t="s">
        <v>6</v>
      </c>
      <c r="B7" s="9">
        <v>24000</v>
      </c>
      <c r="C7" s="10" t="s">
        <v>7</v>
      </c>
    </row>
    <row r="8" spans="1:4" ht="18" customHeight="1" x14ac:dyDescent="0.35">
      <c r="A8" s="8" t="s">
        <v>8</v>
      </c>
      <c r="B8" s="9">
        <v>36000</v>
      </c>
      <c r="C8" s="10" t="s">
        <v>9</v>
      </c>
    </row>
    <row r="9" spans="1:4" ht="18" customHeight="1" x14ac:dyDescent="0.35">
      <c r="A9" s="8" t="s">
        <v>10</v>
      </c>
      <c r="B9" s="9">
        <v>60000</v>
      </c>
      <c r="C9" s="10" t="s">
        <v>11</v>
      </c>
    </row>
    <row r="10" spans="1:4" ht="18" customHeight="1" x14ac:dyDescent="0.35">
      <c r="A10" s="8" t="s">
        <v>12</v>
      </c>
      <c r="B10" s="12">
        <v>0.05</v>
      </c>
      <c r="C10" s="10" t="s">
        <v>13</v>
      </c>
    </row>
    <row r="12" spans="1:4" ht="21.75" customHeight="1" x14ac:dyDescent="0.35">
      <c r="A12" s="2" t="s">
        <v>14</v>
      </c>
      <c r="B12" s="2"/>
      <c r="C12" s="2"/>
      <c r="D12" s="2"/>
    </row>
    <row r="13" spans="1:4" ht="18" customHeight="1" x14ac:dyDescent="0.35">
      <c r="A13" s="8" t="s">
        <v>15</v>
      </c>
      <c r="B13" s="9">
        <v>55000</v>
      </c>
      <c r="C13" s="10" t="s">
        <v>16</v>
      </c>
    </row>
    <row r="14" spans="1:4" ht="18" customHeight="1" x14ac:dyDescent="0.35">
      <c r="A14" s="8" t="s">
        <v>5</v>
      </c>
      <c r="B14" s="12">
        <v>0.05</v>
      </c>
      <c r="C14" s="10" t="s">
        <v>17</v>
      </c>
    </row>
    <row r="15" spans="1:4" ht="18" customHeight="1" x14ac:dyDescent="0.35">
      <c r="A15" s="8" t="s">
        <v>6</v>
      </c>
      <c r="B15" s="9">
        <v>48000</v>
      </c>
      <c r="C15" s="10" t="s">
        <v>18</v>
      </c>
    </row>
    <row r="16" spans="1:4" ht="18" customHeight="1" x14ac:dyDescent="0.35">
      <c r="A16" s="8" t="s">
        <v>8</v>
      </c>
      <c r="B16" s="9">
        <v>60000</v>
      </c>
      <c r="C16" s="10" t="s">
        <v>19</v>
      </c>
    </row>
    <row r="17" spans="1:4" ht="18" customHeight="1" x14ac:dyDescent="0.35">
      <c r="A17" s="8" t="s">
        <v>20</v>
      </c>
      <c r="B17" s="9">
        <v>66000</v>
      </c>
      <c r="C17" s="10" t="s">
        <v>21</v>
      </c>
    </row>
    <row r="18" spans="1:4" ht="18" customHeight="1" x14ac:dyDescent="0.35">
      <c r="A18" s="8" t="s">
        <v>12</v>
      </c>
      <c r="B18" s="12">
        <v>0.04</v>
      </c>
      <c r="C18" s="10" t="s">
        <v>22</v>
      </c>
    </row>
    <row r="20" spans="1:4" ht="21.75" customHeight="1" x14ac:dyDescent="0.35">
      <c r="A20" s="2" t="s">
        <v>23</v>
      </c>
      <c r="B20" s="2"/>
      <c r="C20" s="2"/>
      <c r="D20" s="2"/>
    </row>
    <row r="21" spans="1:4" ht="18" customHeight="1" x14ac:dyDescent="0.35">
      <c r="A21" s="8" t="s">
        <v>24</v>
      </c>
      <c r="B21" s="9">
        <v>14000</v>
      </c>
      <c r="C21" s="10" t="s">
        <v>25</v>
      </c>
    </row>
    <row r="22" spans="1:4" ht="18" customHeight="1" x14ac:dyDescent="0.35">
      <c r="A22" s="8" t="s">
        <v>3</v>
      </c>
      <c r="B22" s="11">
        <v>2</v>
      </c>
      <c r="C22" s="10" t="s">
        <v>26</v>
      </c>
    </row>
    <row r="23" spans="1:4" ht="18" customHeight="1" x14ac:dyDescent="0.35">
      <c r="A23" s="8" t="s">
        <v>5</v>
      </c>
      <c r="B23" s="12">
        <v>0.06</v>
      </c>
      <c r="C23" s="10" t="s">
        <v>27</v>
      </c>
    </row>
    <row r="24" spans="1:4" ht="18" customHeight="1" x14ac:dyDescent="0.35">
      <c r="A24" s="8" t="s">
        <v>6</v>
      </c>
      <c r="B24" s="9">
        <v>18000</v>
      </c>
      <c r="C24" s="10" t="s">
        <v>28</v>
      </c>
    </row>
    <row r="25" spans="1:4" ht="18" customHeight="1" x14ac:dyDescent="0.35">
      <c r="A25" s="8" t="s">
        <v>29</v>
      </c>
      <c r="B25" s="9">
        <v>24000</v>
      </c>
      <c r="C25" s="10" t="s">
        <v>30</v>
      </c>
    </row>
    <row r="26" spans="1:4" ht="18" customHeight="1" x14ac:dyDescent="0.35">
      <c r="A26" s="8" t="s">
        <v>10</v>
      </c>
      <c r="B26" s="9">
        <v>60000</v>
      </c>
      <c r="C26" s="10" t="s">
        <v>31</v>
      </c>
    </row>
    <row r="27" spans="1:4" ht="18" customHeight="1" x14ac:dyDescent="0.35">
      <c r="A27" s="8" t="s">
        <v>12</v>
      </c>
      <c r="B27" s="12">
        <v>0.2</v>
      </c>
      <c r="C27" s="10" t="s">
        <v>32</v>
      </c>
    </row>
    <row r="29" spans="1:4" ht="21.75" customHeight="1" x14ac:dyDescent="0.35">
      <c r="A29" s="2" t="s">
        <v>33</v>
      </c>
      <c r="B29" s="2"/>
      <c r="C29" s="2"/>
      <c r="D29" s="2"/>
    </row>
    <row r="30" spans="1:4" ht="18" customHeight="1" x14ac:dyDescent="0.35">
      <c r="A30" s="8" t="s">
        <v>15</v>
      </c>
      <c r="B30" s="9">
        <v>18000</v>
      </c>
      <c r="C30" s="10" t="s">
        <v>34</v>
      </c>
    </row>
    <row r="31" spans="1:4" ht="18" customHeight="1" x14ac:dyDescent="0.35">
      <c r="A31" s="8" t="s">
        <v>5</v>
      </c>
      <c r="B31" s="12">
        <v>0.05</v>
      </c>
      <c r="C31" s="10" t="s">
        <v>35</v>
      </c>
    </row>
    <row r="32" spans="1:4" ht="18" customHeight="1" x14ac:dyDescent="0.35">
      <c r="A32" s="8" t="s">
        <v>6</v>
      </c>
      <c r="B32" s="9">
        <v>12000</v>
      </c>
      <c r="C32" s="10" t="s">
        <v>36</v>
      </c>
    </row>
    <row r="33" spans="1:4" ht="18" customHeight="1" x14ac:dyDescent="0.35">
      <c r="A33" s="8" t="s">
        <v>37</v>
      </c>
      <c r="B33" s="9">
        <v>60000</v>
      </c>
      <c r="C33" s="10" t="s">
        <v>38</v>
      </c>
    </row>
    <row r="34" spans="1:4" ht="18" customHeight="1" x14ac:dyDescent="0.35">
      <c r="A34" s="8" t="s">
        <v>39</v>
      </c>
      <c r="B34" s="9">
        <v>18000</v>
      </c>
      <c r="C34" s="10" t="s">
        <v>40</v>
      </c>
    </row>
    <row r="35" spans="1:4" ht="18" customHeight="1" x14ac:dyDescent="0.35">
      <c r="A35" s="8" t="s">
        <v>12</v>
      </c>
      <c r="B35" s="12">
        <v>0.33</v>
      </c>
      <c r="C35" s="10" t="s">
        <v>41</v>
      </c>
    </row>
    <row r="37" spans="1:4" ht="21.75" customHeight="1" x14ac:dyDescent="0.35">
      <c r="A37" s="2" t="s">
        <v>42</v>
      </c>
      <c r="B37" s="2"/>
      <c r="C37" s="2"/>
      <c r="D37" s="2"/>
    </row>
    <row r="38" spans="1:4" ht="18" customHeight="1" x14ac:dyDescent="0.35">
      <c r="A38" s="8" t="s">
        <v>43</v>
      </c>
      <c r="B38" s="12">
        <v>0.1</v>
      </c>
      <c r="C38" s="10" t="s">
        <v>44</v>
      </c>
    </row>
    <row r="39" spans="1:4" ht="18" customHeight="1" x14ac:dyDescent="0.35">
      <c r="A39" s="8" t="s">
        <v>45</v>
      </c>
      <c r="B39" s="11">
        <v>5</v>
      </c>
      <c r="C39" s="10" t="s">
        <v>46</v>
      </c>
    </row>
    <row r="40" spans="1:4" ht="18" customHeight="1" x14ac:dyDescent="0.35">
      <c r="A40" s="8" t="s">
        <v>47</v>
      </c>
      <c r="B40" s="9">
        <v>22000000</v>
      </c>
      <c r="C40" s="10" t="s">
        <v>48</v>
      </c>
    </row>
    <row r="41" spans="1:4" ht="18" customHeight="1" x14ac:dyDescent="0.35">
      <c r="A41" s="8" t="s">
        <v>49</v>
      </c>
      <c r="B41" s="12">
        <v>5.5E-2</v>
      </c>
      <c r="C41" s="10" t="s">
        <v>50</v>
      </c>
    </row>
  </sheetData>
  <mergeCells count="7">
    <mergeCell ref="A29:D29"/>
    <mergeCell ref="A37:D37"/>
    <mergeCell ref="A1:D1"/>
    <mergeCell ref="C2:D2"/>
    <mergeCell ref="A3:D3"/>
    <mergeCell ref="A12:D12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topLeftCell="A29" zoomScaleNormal="100" workbookViewId="0">
      <selection sqref="A1:G1"/>
    </sheetView>
  </sheetViews>
  <sheetFormatPr defaultColWidth="8.6328125" defaultRowHeight="14.5" x14ac:dyDescent="0.35"/>
  <cols>
    <col min="1" max="1" width="30" customWidth="1"/>
    <col min="2" max="6" width="16" customWidth="1"/>
    <col min="7" max="7" width="21.36328125" customWidth="1"/>
  </cols>
  <sheetData>
    <row r="1" spans="1:7" ht="43.5" customHeight="1" x14ac:dyDescent="0.35">
      <c r="A1" s="65" t="s">
        <v>139</v>
      </c>
      <c r="B1" s="65"/>
      <c r="C1" s="65"/>
      <c r="D1" s="65"/>
      <c r="E1" s="65"/>
      <c r="F1" s="65"/>
      <c r="G1" s="65"/>
    </row>
    <row r="2" spans="1:7" ht="25.5" customHeight="1" x14ac:dyDescent="0.35">
      <c r="A2" s="13" t="s">
        <v>51</v>
      </c>
      <c r="B2" s="14">
        <v>2020</v>
      </c>
      <c r="C2" s="14">
        <v>2021</v>
      </c>
      <c r="D2" s="14">
        <v>2022</v>
      </c>
      <c r="E2" s="14">
        <v>2023</v>
      </c>
      <c r="F2" s="14">
        <v>2024</v>
      </c>
      <c r="G2" s="15" t="s">
        <v>52</v>
      </c>
    </row>
    <row r="3" spans="1:7" ht="21.75" customHeight="1" x14ac:dyDescent="0.35">
      <c r="A3" s="2" t="s">
        <v>53</v>
      </c>
      <c r="B3" s="2"/>
      <c r="C3" s="2"/>
      <c r="D3" s="2"/>
      <c r="E3" s="2"/>
      <c r="F3" s="2"/>
      <c r="G3" s="2"/>
    </row>
    <row r="4" spans="1:7" ht="18" customHeight="1" x14ac:dyDescent="0.35">
      <c r="A4" s="16" t="s">
        <v>54</v>
      </c>
      <c r="B4" s="17">
        <v>504000</v>
      </c>
      <c r="C4" s="17">
        <v>529200</v>
      </c>
      <c r="D4" s="17">
        <v>555660</v>
      </c>
      <c r="E4" s="17">
        <v>583443</v>
      </c>
      <c r="F4" s="17">
        <v>612615</v>
      </c>
      <c r="G4" s="17">
        <f>SUM(B4:F4)</f>
        <v>2784918</v>
      </c>
    </row>
    <row r="5" spans="1:7" ht="18" customHeight="1" x14ac:dyDescent="0.35">
      <c r="A5" s="16" t="s">
        <v>55</v>
      </c>
      <c r="B5" s="17">
        <v>660000</v>
      </c>
      <c r="C5" s="17">
        <v>693000</v>
      </c>
      <c r="D5" s="17">
        <v>727650</v>
      </c>
      <c r="E5" s="17">
        <v>764032</v>
      </c>
      <c r="F5" s="17">
        <v>802234</v>
      </c>
      <c r="G5" s="17">
        <f>SUM(B5:F5)</f>
        <v>3646916</v>
      </c>
    </row>
    <row r="6" spans="1:7" ht="18" customHeight="1" x14ac:dyDescent="0.35">
      <c r="A6" s="16" t="s">
        <v>56</v>
      </c>
      <c r="B6" s="17">
        <v>168000</v>
      </c>
      <c r="C6" s="17">
        <v>352800</v>
      </c>
      <c r="D6" s="17">
        <v>370440</v>
      </c>
      <c r="E6" s="17">
        <v>388962</v>
      </c>
      <c r="F6" s="17">
        <v>408410</v>
      </c>
      <c r="G6" s="17">
        <f>SUM(B6:F6)</f>
        <v>1688612</v>
      </c>
    </row>
    <row r="7" spans="1:7" ht="18" customHeight="1" x14ac:dyDescent="0.35">
      <c r="A7" s="16" t="s">
        <v>57</v>
      </c>
      <c r="B7" s="17">
        <v>144000</v>
      </c>
      <c r="C7" s="17">
        <v>226800</v>
      </c>
      <c r="D7" s="17">
        <v>238140</v>
      </c>
      <c r="E7" s="17">
        <v>250047</v>
      </c>
      <c r="F7" s="17">
        <v>262549</v>
      </c>
      <c r="G7" s="17">
        <f>SUM(B7:F7)</f>
        <v>1121536</v>
      </c>
    </row>
    <row r="8" spans="1:7" ht="19.5" customHeight="1" x14ac:dyDescent="0.35">
      <c r="A8" s="18" t="s">
        <v>58</v>
      </c>
      <c r="B8" s="19">
        <f>SUM(B4:B7)</f>
        <v>1476000</v>
      </c>
      <c r="C8" s="19">
        <f>SUM(C4:C7)</f>
        <v>1801800</v>
      </c>
      <c r="D8" s="19">
        <f>SUM(D4:D7)</f>
        <v>1891890</v>
      </c>
      <c r="E8" s="19">
        <f>SUM(E4:E7)</f>
        <v>1986484</v>
      </c>
      <c r="F8" s="19">
        <f>SUM(F4:F7)</f>
        <v>2085808</v>
      </c>
      <c r="G8" s="19">
        <f>SUM(B8:F8)</f>
        <v>9241982</v>
      </c>
    </row>
    <row r="9" spans="1:7" ht="21.75" customHeight="1" x14ac:dyDescent="0.35">
      <c r="A9" s="2" t="s">
        <v>59</v>
      </c>
      <c r="B9" s="2"/>
      <c r="C9" s="2"/>
      <c r="D9" s="2"/>
      <c r="E9" s="2"/>
      <c r="F9" s="2"/>
      <c r="G9" s="2"/>
    </row>
    <row r="10" spans="1:7" ht="18" customHeight="1" x14ac:dyDescent="0.35">
      <c r="A10" s="20" t="s">
        <v>60</v>
      </c>
      <c r="B10" s="21">
        <v>-25200</v>
      </c>
      <c r="C10" s="21">
        <v>-26460</v>
      </c>
      <c r="D10" s="21">
        <v>-27783</v>
      </c>
      <c r="E10" s="21">
        <v>-29172</v>
      </c>
      <c r="F10" s="21">
        <v>-30631</v>
      </c>
      <c r="G10" s="21">
        <f t="shared" ref="G10:G15" si="0">SUM(B10:F10)</f>
        <v>-139246</v>
      </c>
    </row>
    <row r="11" spans="1:7" ht="18" customHeight="1" x14ac:dyDescent="0.35">
      <c r="A11" s="20" t="s">
        <v>61</v>
      </c>
      <c r="B11" s="21">
        <v>-26400</v>
      </c>
      <c r="C11" s="21">
        <v>-27720</v>
      </c>
      <c r="D11" s="21">
        <v>-29106</v>
      </c>
      <c r="E11" s="21">
        <v>-30561</v>
      </c>
      <c r="F11" s="21">
        <v>-32089</v>
      </c>
      <c r="G11" s="21">
        <f t="shared" si="0"/>
        <v>-145876</v>
      </c>
    </row>
    <row r="12" spans="1:7" ht="18" customHeight="1" x14ac:dyDescent="0.35">
      <c r="A12" s="20" t="s">
        <v>62</v>
      </c>
      <c r="B12" s="21">
        <v>-33600</v>
      </c>
      <c r="C12" s="21">
        <v>-28224</v>
      </c>
      <c r="D12" s="21">
        <v>-29635</v>
      </c>
      <c r="E12" s="21">
        <v>-31117</v>
      </c>
      <c r="F12" s="21">
        <v>-32673</v>
      </c>
      <c r="G12" s="21">
        <f t="shared" si="0"/>
        <v>-155249</v>
      </c>
    </row>
    <row r="13" spans="1:7" ht="18" customHeight="1" x14ac:dyDescent="0.35">
      <c r="A13" s="20" t="s">
        <v>63</v>
      </c>
      <c r="B13" s="21">
        <v>0</v>
      </c>
      <c r="C13" s="21">
        <v>0</v>
      </c>
      <c r="D13" s="21">
        <v>-9526</v>
      </c>
      <c r="E13" s="21">
        <v>-10002</v>
      </c>
      <c r="F13" s="21">
        <v>-10502</v>
      </c>
      <c r="G13" s="21">
        <f t="shared" si="0"/>
        <v>-30030</v>
      </c>
    </row>
    <row r="14" spans="1:7" ht="19.5" customHeight="1" x14ac:dyDescent="0.35">
      <c r="A14" s="22" t="s">
        <v>64</v>
      </c>
      <c r="B14" s="23">
        <f>SUM(B10:B13)</f>
        <v>-85200</v>
      </c>
      <c r="C14" s="23">
        <f>SUM(C10:C13)</f>
        <v>-82404</v>
      </c>
      <c r="D14" s="23">
        <f>SUM(D10:D13)</f>
        <v>-96050</v>
      </c>
      <c r="E14" s="23">
        <f>SUM(E10:E13)</f>
        <v>-100852</v>
      </c>
      <c r="F14" s="23">
        <f>SUM(F10:F13)</f>
        <v>-105895</v>
      </c>
      <c r="G14" s="24">
        <f t="shared" si="0"/>
        <v>-470401</v>
      </c>
    </row>
    <row r="15" spans="1:7" ht="21.75" customHeight="1" x14ac:dyDescent="0.35">
      <c r="A15" s="25" t="s">
        <v>65</v>
      </c>
      <c r="B15" s="26">
        <f>B8+B14</f>
        <v>1390800</v>
      </c>
      <c r="C15" s="26">
        <f>C8+C14</f>
        <v>1719396</v>
      </c>
      <c r="D15" s="26">
        <f>D8+D14</f>
        <v>1795840</v>
      </c>
      <c r="E15" s="26">
        <f>E8+E14</f>
        <v>1885632</v>
      </c>
      <c r="F15" s="26">
        <f>F8+F14</f>
        <v>1979913</v>
      </c>
      <c r="G15" s="27">
        <f t="shared" si="0"/>
        <v>8771581</v>
      </c>
    </row>
    <row r="17" spans="1:7" ht="21.75" customHeight="1" x14ac:dyDescent="0.35">
      <c r="A17" s="2" t="s">
        <v>66</v>
      </c>
      <c r="B17" s="2"/>
      <c r="C17" s="2"/>
      <c r="D17" s="2"/>
      <c r="E17" s="2"/>
      <c r="F17" s="2"/>
      <c r="G17" s="2"/>
    </row>
    <row r="18" spans="1:7" ht="18" customHeight="1" x14ac:dyDescent="0.35">
      <c r="A18" s="20" t="s">
        <v>67</v>
      </c>
      <c r="B18" s="21">
        <v>-24000</v>
      </c>
      <c r="C18" s="21">
        <v>-25200</v>
      </c>
      <c r="D18" s="21">
        <v>-26460</v>
      </c>
      <c r="E18" s="21">
        <v>-27783</v>
      </c>
      <c r="F18" s="21">
        <v>-29172</v>
      </c>
      <c r="G18" s="21">
        <f t="shared" ref="G18:G28" si="1">SUM(B18:F18)</f>
        <v>-132615</v>
      </c>
    </row>
    <row r="19" spans="1:7" ht="18" customHeight="1" x14ac:dyDescent="0.35">
      <c r="A19" s="20" t="s">
        <v>68</v>
      </c>
      <c r="B19" s="21">
        <v>-48000</v>
      </c>
      <c r="C19" s="21">
        <v>-50400</v>
      </c>
      <c r="D19" s="21">
        <v>-52920</v>
      </c>
      <c r="E19" s="21">
        <v>-55566</v>
      </c>
      <c r="F19" s="21">
        <v>-58344</v>
      </c>
      <c r="G19" s="21">
        <f t="shared" si="1"/>
        <v>-265230</v>
      </c>
    </row>
    <row r="20" spans="1:7" ht="18" customHeight="1" x14ac:dyDescent="0.35">
      <c r="A20" s="20" t="s">
        <v>69</v>
      </c>
      <c r="B20" s="21">
        <v>-18000</v>
      </c>
      <c r="C20" s="21">
        <v>-18900</v>
      </c>
      <c r="D20" s="21">
        <v>-19845</v>
      </c>
      <c r="E20" s="21">
        <v>-20837</v>
      </c>
      <c r="F20" s="21">
        <v>-21879</v>
      </c>
      <c r="G20" s="21">
        <f t="shared" si="1"/>
        <v>-99461</v>
      </c>
    </row>
    <row r="21" spans="1:7" ht="18" customHeight="1" x14ac:dyDescent="0.35">
      <c r="A21" s="20" t="s">
        <v>70</v>
      </c>
      <c r="B21" s="21">
        <v>-12000</v>
      </c>
      <c r="C21" s="21">
        <v>-12600</v>
      </c>
      <c r="D21" s="21">
        <v>-13230</v>
      </c>
      <c r="E21" s="21">
        <v>-13892</v>
      </c>
      <c r="F21" s="21">
        <v>-14586</v>
      </c>
      <c r="G21" s="21">
        <f t="shared" si="1"/>
        <v>-66308</v>
      </c>
    </row>
    <row r="22" spans="1:7" ht="18" customHeight="1" x14ac:dyDescent="0.35">
      <c r="A22" s="20" t="s">
        <v>71</v>
      </c>
      <c r="B22" s="21">
        <v>-36000</v>
      </c>
      <c r="C22" s="21">
        <v>-38000</v>
      </c>
      <c r="D22" s="21">
        <v>-40000</v>
      </c>
      <c r="E22" s="21">
        <v>-42000</v>
      </c>
      <c r="F22" s="21">
        <v>-44000</v>
      </c>
      <c r="G22" s="21">
        <f t="shared" si="1"/>
        <v>-200000</v>
      </c>
    </row>
    <row r="23" spans="1:7" ht="18" customHeight="1" x14ac:dyDescent="0.35">
      <c r="A23" s="20" t="s">
        <v>72</v>
      </c>
      <c r="B23" s="21">
        <v>-60000</v>
      </c>
      <c r="C23" s="21">
        <v>-63000</v>
      </c>
      <c r="D23" s="21">
        <v>-66000</v>
      </c>
      <c r="E23" s="21">
        <v>-70000</v>
      </c>
      <c r="F23" s="21">
        <v>-74000</v>
      </c>
      <c r="G23" s="21">
        <f t="shared" si="1"/>
        <v>-333000</v>
      </c>
    </row>
    <row r="24" spans="1:7" ht="18" customHeight="1" x14ac:dyDescent="0.35">
      <c r="A24" s="20" t="s">
        <v>73</v>
      </c>
      <c r="B24" s="21">
        <v>-24000</v>
      </c>
      <c r="C24" s="21">
        <v>-25000</v>
      </c>
      <c r="D24" s="21">
        <v>-26000</v>
      </c>
      <c r="E24" s="21">
        <v>-27000</v>
      </c>
      <c r="F24" s="21">
        <v>-28000</v>
      </c>
      <c r="G24" s="21">
        <f t="shared" si="1"/>
        <v>-130000</v>
      </c>
    </row>
    <row r="25" spans="1:7" ht="18" customHeight="1" x14ac:dyDescent="0.35">
      <c r="A25" s="20" t="s">
        <v>74</v>
      </c>
      <c r="B25" s="21">
        <v>-60000</v>
      </c>
      <c r="C25" s="21">
        <v>-18000</v>
      </c>
      <c r="D25" s="21">
        <v>-19000</v>
      </c>
      <c r="E25" s="21">
        <v>-20000</v>
      </c>
      <c r="F25" s="21">
        <v>-21000</v>
      </c>
      <c r="G25" s="21">
        <f t="shared" si="1"/>
        <v>-138000</v>
      </c>
    </row>
    <row r="26" spans="1:7" ht="18" customHeight="1" x14ac:dyDescent="0.35">
      <c r="A26" s="20" t="s">
        <v>75</v>
      </c>
      <c r="B26" s="21">
        <v>-120000</v>
      </c>
      <c r="C26" s="21">
        <v>-126000</v>
      </c>
      <c r="D26" s="21">
        <v>-132300</v>
      </c>
      <c r="E26" s="21">
        <v>-138915</v>
      </c>
      <c r="F26" s="21">
        <v>-145861</v>
      </c>
      <c r="G26" s="21">
        <f t="shared" si="1"/>
        <v>-663076</v>
      </c>
    </row>
    <row r="27" spans="1:7" ht="18" customHeight="1" x14ac:dyDescent="0.35">
      <c r="A27" s="20" t="s">
        <v>76</v>
      </c>
      <c r="B27" s="21">
        <v>-66000</v>
      </c>
      <c r="C27" s="21">
        <v>-69300</v>
      </c>
      <c r="D27" s="21">
        <v>-72765</v>
      </c>
      <c r="E27" s="21">
        <v>-76403</v>
      </c>
      <c r="F27" s="21">
        <v>-80223</v>
      </c>
      <c r="G27" s="21">
        <f t="shared" si="1"/>
        <v>-364691</v>
      </c>
    </row>
    <row r="28" spans="1:7" ht="19.5" customHeight="1" x14ac:dyDescent="0.35">
      <c r="A28" s="22" t="s">
        <v>77</v>
      </c>
      <c r="B28" s="23">
        <f>SUM(B18:B27)</f>
        <v>-468000</v>
      </c>
      <c r="C28" s="23">
        <f>SUM(C18:C27)</f>
        <v>-446400</v>
      </c>
      <c r="D28" s="23">
        <f>SUM(D18:D27)</f>
        <v>-468520</v>
      </c>
      <c r="E28" s="23">
        <f>SUM(E18:E27)</f>
        <v>-492396</v>
      </c>
      <c r="F28" s="23">
        <f>SUM(F18:F27)</f>
        <v>-517065</v>
      </c>
      <c r="G28" s="24">
        <f t="shared" si="1"/>
        <v>-2392381</v>
      </c>
    </row>
    <row r="30" spans="1:7" ht="30" customHeight="1" x14ac:dyDescent="0.35">
      <c r="A30" s="28" t="s">
        <v>78</v>
      </c>
      <c r="B30" s="29">
        <f>B15+B28</f>
        <v>922800</v>
      </c>
      <c r="C30" s="29">
        <f>C15+C28</f>
        <v>1272996</v>
      </c>
      <c r="D30" s="29">
        <f>D15+D28</f>
        <v>1327320</v>
      </c>
      <c r="E30" s="29">
        <f>E15+E28</f>
        <v>1393236</v>
      </c>
      <c r="F30" s="29">
        <f>F15+F28</f>
        <v>1462848</v>
      </c>
      <c r="G30" s="30">
        <f>SUM(B30:F30)</f>
        <v>6379200</v>
      </c>
    </row>
    <row r="31" spans="1:7" ht="18" customHeight="1" x14ac:dyDescent="0.35">
      <c r="A31" s="8" t="s">
        <v>79</v>
      </c>
      <c r="B31" s="31">
        <f>B30</f>
        <v>922800</v>
      </c>
      <c r="C31" s="31">
        <f>B31+C30</f>
        <v>2195796</v>
      </c>
      <c r="D31" s="31">
        <f>C31+D30</f>
        <v>3523116</v>
      </c>
      <c r="E31" s="31">
        <f>D31+E30</f>
        <v>4916352</v>
      </c>
      <c r="F31" s="31">
        <f>E31+F30</f>
        <v>6379200</v>
      </c>
    </row>
    <row r="33" spans="1:6" ht="18" customHeight="1" x14ac:dyDescent="0.35">
      <c r="A33" s="32" t="s">
        <v>80</v>
      </c>
      <c r="B33" s="33">
        <f>B30/22000000</f>
        <v>4.1945454545454543E-2</v>
      </c>
      <c r="C33" s="33">
        <f>C30/22000000</f>
        <v>5.7863454545454544E-2</v>
      </c>
      <c r="D33" s="33">
        <f>D30/22000000</f>
        <v>6.0332727272727274E-2</v>
      </c>
      <c r="E33" s="33">
        <f>E30/22000000</f>
        <v>6.3328909090909088E-2</v>
      </c>
      <c r="F33" s="33">
        <f>F30/22000000</f>
        <v>6.6493090909090904E-2</v>
      </c>
    </row>
  </sheetData>
  <mergeCells count="4">
    <mergeCell ref="A1:G1"/>
    <mergeCell ref="A3:G3"/>
    <mergeCell ref="A9:G9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34" customWidth="1"/>
    <col min="2" max="6" width="15" customWidth="1"/>
    <col min="7" max="7" width="15.1796875" customWidth="1"/>
    <col min="8" max="8" width="20" customWidth="1"/>
  </cols>
  <sheetData>
    <row r="1" spans="1:8" ht="43.5" customHeight="1" x14ac:dyDescent="0.35">
      <c r="A1" s="66" t="s">
        <v>140</v>
      </c>
      <c r="B1" s="66"/>
      <c r="C1" s="66"/>
      <c r="D1" s="66"/>
      <c r="E1" s="66"/>
      <c r="F1" s="66"/>
      <c r="G1" s="66"/>
      <c r="H1" s="66"/>
    </row>
    <row r="2" spans="1:8" x14ac:dyDescent="0.35">
      <c r="A2" s="34" t="s">
        <v>81</v>
      </c>
      <c r="B2" s="12">
        <v>0.1</v>
      </c>
      <c r="C2" s="10"/>
    </row>
    <row r="3" spans="1:8" x14ac:dyDescent="0.35">
      <c r="A3" s="34" t="s">
        <v>82</v>
      </c>
      <c r="B3" s="9">
        <v>-22000000</v>
      </c>
    </row>
    <row r="4" spans="1:8" x14ac:dyDescent="0.35">
      <c r="A4" s="34" t="s">
        <v>49</v>
      </c>
      <c r="B4" s="12">
        <v>5.5E-2</v>
      </c>
    </row>
    <row r="6" spans="1:8" ht="25.5" customHeight="1" x14ac:dyDescent="0.35">
      <c r="A6" s="13" t="s">
        <v>83</v>
      </c>
      <c r="B6" s="14">
        <v>2020</v>
      </c>
      <c r="C6" s="14">
        <v>2021</v>
      </c>
      <c r="D6" s="14">
        <v>2022</v>
      </c>
      <c r="E6" s="14">
        <v>2023</v>
      </c>
      <c r="F6" s="14">
        <v>2024</v>
      </c>
      <c r="G6" s="15" t="s">
        <v>84</v>
      </c>
      <c r="H6" s="15" t="s">
        <v>85</v>
      </c>
    </row>
    <row r="7" spans="1:8" ht="18" customHeight="1" x14ac:dyDescent="0.35">
      <c r="A7" s="16" t="s">
        <v>86</v>
      </c>
      <c r="B7" s="35">
        <f>'Annual P&amp;L'!B30</f>
        <v>922800</v>
      </c>
      <c r="C7" s="35">
        <f>'Annual P&amp;L'!C30</f>
        <v>1272996</v>
      </c>
      <c r="D7" s="35">
        <f>'Annual P&amp;L'!D30</f>
        <v>1327320</v>
      </c>
      <c r="E7" s="35">
        <f>'Annual P&amp;L'!E30</f>
        <v>1393236</v>
      </c>
      <c r="F7" s="35">
        <f>'Annual P&amp;L'!F30</f>
        <v>1462848</v>
      </c>
    </row>
    <row r="8" spans="1:8" ht="18" customHeight="1" x14ac:dyDescent="0.35">
      <c r="A8" s="36" t="s">
        <v>87</v>
      </c>
      <c r="G8" s="37">
        <f>F7/B4</f>
        <v>26597236.363636363</v>
      </c>
    </row>
    <row r="9" spans="1:8" ht="18" customHeight="1" x14ac:dyDescent="0.35">
      <c r="A9" s="34" t="s">
        <v>88</v>
      </c>
      <c r="B9" s="38">
        <f>B7</f>
        <v>922800</v>
      </c>
      <c r="C9" s="38">
        <f>C7</f>
        <v>1272996</v>
      </c>
      <c r="D9" s="38">
        <f>D7</f>
        <v>1327320</v>
      </c>
      <c r="E9" s="38">
        <f>E7</f>
        <v>1393236</v>
      </c>
      <c r="F9" s="38">
        <f>F7+G8</f>
        <v>28060084.363636363</v>
      </c>
    </row>
    <row r="10" spans="1:8" ht="18" customHeight="1" x14ac:dyDescent="0.35">
      <c r="A10" s="39" t="s">
        <v>89</v>
      </c>
      <c r="B10" s="40">
        <f>1/(1+$B$2)^1</f>
        <v>0.90909090909090906</v>
      </c>
      <c r="C10" s="40">
        <f>1/(1+$B$2)^2</f>
        <v>0.82644628099173545</v>
      </c>
      <c r="D10" s="40">
        <f>1/(1+$B$2)^3</f>
        <v>0.75131480090157754</v>
      </c>
      <c r="E10" s="40">
        <f>1/(1+$B$2)^4</f>
        <v>0.68301345536507052</v>
      </c>
      <c r="F10" s="40">
        <f>1/(1+$B$2)^5</f>
        <v>0.62092132305915493</v>
      </c>
    </row>
    <row r="11" spans="1:8" ht="18" customHeight="1" x14ac:dyDescent="0.35">
      <c r="A11" s="41" t="s">
        <v>90</v>
      </c>
      <c r="B11" s="42">
        <f>B9*B10</f>
        <v>838909.09090909082</v>
      </c>
      <c r="C11" s="42">
        <f>C9*C10</f>
        <v>1052062.8099173552</v>
      </c>
      <c r="D11" s="42">
        <f>D9*D10</f>
        <v>997235.1615326819</v>
      </c>
      <c r="E11" s="42">
        <f>E9*E10</f>
        <v>951598.9344990094</v>
      </c>
      <c r="F11" s="42">
        <f>F9*F10</f>
        <v>17423104.708220597</v>
      </c>
    </row>
    <row r="13" spans="1:8" ht="24" customHeight="1" x14ac:dyDescent="0.35">
      <c r="A13" s="43" t="s">
        <v>91</v>
      </c>
      <c r="B13" s="44">
        <f>SUM(B11:F11)</f>
        <v>21262910.705078736</v>
      </c>
      <c r="C13" s="45"/>
      <c r="D13" s="45"/>
      <c r="E13" s="45"/>
      <c r="F13" s="45"/>
      <c r="G13" s="45"/>
      <c r="H13" s="45"/>
    </row>
    <row r="14" spans="1:8" ht="24" customHeight="1" x14ac:dyDescent="0.35">
      <c r="A14" s="28" t="s">
        <v>92</v>
      </c>
      <c r="B14" s="30">
        <f>B13+B3</f>
        <v>-737089.29492126405</v>
      </c>
      <c r="C14" s="46"/>
      <c r="D14" s="46"/>
      <c r="E14" s="46"/>
      <c r="F14" s="46"/>
      <c r="G14" s="46"/>
      <c r="H14" s="46"/>
    </row>
    <row r="16" spans="1:8" ht="18" customHeight="1" x14ac:dyDescent="0.35">
      <c r="A16" s="34" t="s">
        <v>93</v>
      </c>
      <c r="B16" s="47">
        <f>IRR(B3:F9)</f>
        <v>4.1071740936199364E-2</v>
      </c>
    </row>
    <row r="17" spans="1:6" ht="15.75" customHeight="1" x14ac:dyDescent="0.35">
      <c r="A17" s="48" t="s">
        <v>94</v>
      </c>
      <c r="B17" s="49">
        <f>B3</f>
        <v>-22000000</v>
      </c>
    </row>
    <row r="18" spans="1:6" ht="15.75" customHeight="1" x14ac:dyDescent="0.35">
      <c r="A18" s="48" t="s">
        <v>95</v>
      </c>
      <c r="B18" s="49">
        <f>B9</f>
        <v>922800</v>
      </c>
    </row>
    <row r="19" spans="1:6" ht="15.75" customHeight="1" x14ac:dyDescent="0.35">
      <c r="A19" s="48" t="s">
        <v>96</v>
      </c>
      <c r="B19" s="49">
        <f>C9</f>
        <v>1272996</v>
      </c>
    </row>
    <row r="20" spans="1:6" ht="15.75" customHeight="1" x14ac:dyDescent="0.35">
      <c r="A20" s="48" t="s">
        <v>97</v>
      </c>
      <c r="B20" s="49">
        <f>D9</f>
        <v>1327320</v>
      </c>
    </row>
    <row r="21" spans="1:6" ht="15.75" customHeight="1" x14ac:dyDescent="0.35">
      <c r="A21" s="48" t="s">
        <v>98</v>
      </c>
      <c r="B21" s="49">
        <f>E9</f>
        <v>1393236</v>
      </c>
    </row>
    <row r="22" spans="1:6" ht="15.75" customHeight="1" x14ac:dyDescent="0.35">
      <c r="A22" s="48" t="s">
        <v>99</v>
      </c>
      <c r="B22" s="49">
        <f>F9</f>
        <v>28060084.363636363</v>
      </c>
    </row>
    <row r="24" spans="1:6" ht="27.75" customHeight="1" x14ac:dyDescent="0.35">
      <c r="A24" s="28" t="s">
        <v>100</v>
      </c>
      <c r="B24" s="50">
        <f>IRR(B17:B22)</f>
        <v>9.1808810695184206E-2</v>
      </c>
      <c r="C24" s="46"/>
      <c r="D24" s="46"/>
    </row>
    <row r="26" spans="1:6" ht="21.75" customHeight="1" x14ac:dyDescent="0.35">
      <c r="A26" s="2" t="s">
        <v>101</v>
      </c>
      <c r="B26" s="2"/>
      <c r="C26" s="2"/>
      <c r="D26" s="2"/>
      <c r="E26" s="2"/>
      <c r="F26" s="2"/>
    </row>
    <row r="27" spans="1:6" ht="19.5" customHeight="1" x14ac:dyDescent="0.35">
      <c r="A27" s="51" t="s">
        <v>102</v>
      </c>
      <c r="B27" s="52" t="s">
        <v>103</v>
      </c>
      <c r="C27" s="52" t="s">
        <v>104</v>
      </c>
      <c r="D27" s="52" t="s">
        <v>105</v>
      </c>
      <c r="E27" s="52" t="s">
        <v>106</v>
      </c>
      <c r="F27" s="52" t="s">
        <v>107</v>
      </c>
    </row>
    <row r="28" spans="1:6" ht="18" customHeight="1" x14ac:dyDescent="0.35">
      <c r="A28" s="53" t="s">
        <v>108</v>
      </c>
      <c r="B28" s="54">
        <v>15.7</v>
      </c>
      <c r="C28" s="55">
        <v>-3.3</v>
      </c>
      <c r="D28" s="55">
        <v>-18.899999999999999</v>
      </c>
      <c r="E28" s="55">
        <v>-31.9</v>
      </c>
      <c r="F28" s="55">
        <v>-42.9</v>
      </c>
    </row>
    <row r="29" spans="1:6" ht="18" customHeight="1" x14ac:dyDescent="0.35">
      <c r="A29" s="53" t="s">
        <v>109</v>
      </c>
      <c r="B29" s="54">
        <v>5.9</v>
      </c>
      <c r="C29" s="55">
        <v>-12.3</v>
      </c>
      <c r="D29" s="55">
        <v>-27.2</v>
      </c>
      <c r="E29" s="55">
        <v>-39.6</v>
      </c>
      <c r="F29" s="55">
        <v>-50.1</v>
      </c>
    </row>
    <row r="30" spans="1:6" ht="18" customHeight="1" x14ac:dyDescent="0.35">
      <c r="A30" s="56" t="s">
        <v>110</v>
      </c>
      <c r="B30" s="55">
        <v>-3.4</v>
      </c>
      <c r="C30" s="55">
        <v>-20.7</v>
      </c>
      <c r="D30" s="57">
        <v>-35</v>
      </c>
      <c r="E30" s="55">
        <v>-46.8</v>
      </c>
      <c r="F30" s="55">
        <v>-56.9</v>
      </c>
    </row>
    <row r="31" spans="1:6" ht="18" customHeight="1" x14ac:dyDescent="0.35">
      <c r="A31" s="53" t="s">
        <v>111</v>
      </c>
      <c r="B31" s="55">
        <v>-12.2</v>
      </c>
      <c r="C31" s="55">
        <v>-28.8</v>
      </c>
      <c r="D31" s="55">
        <v>-42.4</v>
      </c>
      <c r="E31" s="55">
        <v>-53.7</v>
      </c>
      <c r="F31" s="55">
        <v>-63.3</v>
      </c>
    </row>
    <row r="32" spans="1:6" ht="18" customHeight="1" x14ac:dyDescent="0.35">
      <c r="A32" s="53" t="s">
        <v>112</v>
      </c>
      <c r="B32" s="55">
        <v>-20.5</v>
      </c>
      <c r="C32" s="55">
        <v>-36.4</v>
      </c>
      <c r="D32" s="55">
        <v>-49.4</v>
      </c>
      <c r="E32" s="55">
        <v>-60.2</v>
      </c>
      <c r="F32" s="55">
        <v>-69.400000000000006</v>
      </c>
    </row>
  </sheetData>
  <mergeCells count="2">
    <mergeCell ref="A1:H1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topLeftCell="A2" zoomScaleNormal="100" workbookViewId="0">
      <selection activeCell="B14" sqref="B14"/>
    </sheetView>
  </sheetViews>
  <sheetFormatPr defaultColWidth="8.6328125" defaultRowHeight="14.5" x14ac:dyDescent="0.35"/>
  <cols>
    <col min="1" max="1" width="35.90625" customWidth="1"/>
    <col min="2" max="5" width="18" customWidth="1"/>
  </cols>
  <sheetData>
    <row r="1" spans="1:6" ht="43.5" customHeight="1" x14ac:dyDescent="0.35">
      <c r="A1" s="4" t="s">
        <v>138</v>
      </c>
      <c r="B1" s="4"/>
      <c r="C1" s="4"/>
      <c r="D1" s="4"/>
      <c r="E1" s="4"/>
      <c r="F1" s="4"/>
    </row>
    <row r="2" spans="1:6" ht="30" customHeight="1" x14ac:dyDescent="0.35">
      <c r="A2" s="13" t="s">
        <v>113</v>
      </c>
      <c r="B2" s="58" t="s">
        <v>114</v>
      </c>
      <c r="C2" s="58" t="s">
        <v>115</v>
      </c>
      <c r="D2" s="58" t="s">
        <v>116</v>
      </c>
      <c r="E2" s="58" t="s">
        <v>117</v>
      </c>
      <c r="F2" s="59"/>
    </row>
    <row r="3" spans="1:6" ht="18" customHeight="1" x14ac:dyDescent="0.35">
      <c r="A3" s="8" t="s">
        <v>118</v>
      </c>
      <c r="B3" s="17">
        <v>42000</v>
      </c>
      <c r="C3" s="17">
        <v>55000</v>
      </c>
      <c r="D3" s="17">
        <v>14000</v>
      </c>
      <c r="E3" s="17">
        <v>18000</v>
      </c>
    </row>
    <row r="4" spans="1:6" ht="18" customHeight="1" x14ac:dyDescent="0.35">
      <c r="A4" s="8" t="s">
        <v>119</v>
      </c>
      <c r="B4" s="17">
        <v>504000</v>
      </c>
      <c r="C4" s="17">
        <v>660000</v>
      </c>
      <c r="D4" s="17">
        <v>168000</v>
      </c>
      <c r="E4" s="17">
        <v>144000</v>
      </c>
    </row>
    <row r="5" spans="1:6" ht="18" customHeight="1" x14ac:dyDescent="0.35">
      <c r="A5" s="8" t="s">
        <v>120</v>
      </c>
      <c r="B5" s="21">
        <v>-25200</v>
      </c>
      <c r="C5" s="21">
        <v>-26400</v>
      </c>
      <c r="D5" s="21">
        <v>-33600</v>
      </c>
      <c r="E5" s="21">
        <v>-48000</v>
      </c>
    </row>
    <row r="6" spans="1:6" ht="18" customHeight="1" x14ac:dyDescent="0.35">
      <c r="A6" s="18" t="s">
        <v>121</v>
      </c>
      <c r="B6" s="60">
        <v>478800</v>
      </c>
      <c r="C6" s="60">
        <v>633600</v>
      </c>
      <c r="D6" s="60">
        <v>134400</v>
      </c>
      <c r="E6" s="60">
        <v>96000</v>
      </c>
    </row>
    <row r="7" spans="1:6" ht="18" customHeight="1" x14ac:dyDescent="0.35">
      <c r="A7" s="8"/>
      <c r="B7" s="61"/>
      <c r="C7" s="61"/>
      <c r="D7" s="61"/>
      <c r="E7" s="61"/>
    </row>
    <row r="8" spans="1:6" ht="18" customHeight="1" x14ac:dyDescent="0.35">
      <c r="A8" s="8" t="s">
        <v>122</v>
      </c>
      <c r="B8" s="21">
        <v>-24000</v>
      </c>
      <c r="C8" s="21">
        <v>-48000</v>
      </c>
      <c r="D8" s="21">
        <v>-18000</v>
      </c>
      <c r="E8" s="21">
        <v>-12000</v>
      </c>
    </row>
    <row r="9" spans="1:6" ht="18" customHeight="1" x14ac:dyDescent="0.35">
      <c r="A9" s="8" t="s">
        <v>123</v>
      </c>
      <c r="B9" s="21">
        <v>-36000</v>
      </c>
      <c r="C9" s="21">
        <v>-60000</v>
      </c>
      <c r="D9" s="21">
        <v>-24000</v>
      </c>
      <c r="E9" s="21">
        <v>-60000</v>
      </c>
    </row>
    <row r="10" spans="1:6" ht="18" customHeight="1" x14ac:dyDescent="0.35">
      <c r="A10" s="8" t="s">
        <v>124</v>
      </c>
      <c r="B10" s="21">
        <v>-60000</v>
      </c>
      <c r="C10" s="21">
        <v>-66000</v>
      </c>
      <c r="D10" s="21">
        <v>-60000</v>
      </c>
      <c r="E10" s="17">
        <v>0</v>
      </c>
    </row>
    <row r="11" spans="1:6" ht="18" customHeight="1" x14ac:dyDescent="0.35">
      <c r="A11" s="62" t="s">
        <v>125</v>
      </c>
      <c r="B11" s="23">
        <v>-120000</v>
      </c>
      <c r="C11" s="23">
        <v>-174000</v>
      </c>
      <c r="D11" s="23">
        <v>-102000</v>
      </c>
      <c r="E11" s="23">
        <v>-72000</v>
      </c>
    </row>
    <row r="12" spans="1:6" ht="18" customHeight="1" x14ac:dyDescent="0.35">
      <c r="A12" s="8"/>
      <c r="B12" s="61"/>
      <c r="C12" s="61"/>
      <c r="D12" s="61"/>
      <c r="E12" s="61"/>
    </row>
    <row r="13" spans="1:6" ht="18" customHeight="1" x14ac:dyDescent="0.35">
      <c r="A13" s="7" t="s">
        <v>126</v>
      </c>
      <c r="B13" s="60">
        <v>358800</v>
      </c>
      <c r="C13" s="60">
        <v>459600</v>
      </c>
      <c r="D13" s="60">
        <v>32400</v>
      </c>
      <c r="E13" s="60">
        <v>24000</v>
      </c>
    </row>
    <row r="14" spans="1:6" ht="18" customHeight="1" x14ac:dyDescent="0.35">
      <c r="A14" s="18" t="s">
        <v>127</v>
      </c>
      <c r="B14" s="64">
        <v>1.6299999999999999E-2</v>
      </c>
      <c r="C14" s="64">
        <v>2.0899999999999998E-2</v>
      </c>
      <c r="D14" s="64">
        <v>1.5E-3</v>
      </c>
      <c r="E14" s="64">
        <v>1.1000000000000001E-3</v>
      </c>
    </row>
    <row r="15" spans="1:6" ht="18" customHeight="1" x14ac:dyDescent="0.35">
      <c r="A15" s="8" t="s">
        <v>128</v>
      </c>
      <c r="B15" s="63">
        <v>1</v>
      </c>
      <c r="C15" s="63">
        <v>1</v>
      </c>
      <c r="D15" s="63">
        <v>0.5</v>
      </c>
      <c r="E15" s="63">
        <v>0.67</v>
      </c>
    </row>
    <row r="16" spans="1:6" ht="18" customHeight="1" x14ac:dyDescent="0.35">
      <c r="A16" s="8" t="s">
        <v>129</v>
      </c>
      <c r="B16" s="61">
        <v>2</v>
      </c>
      <c r="C16" s="61">
        <v>1</v>
      </c>
      <c r="D16" s="61">
        <v>1</v>
      </c>
      <c r="E16" s="61">
        <v>0</v>
      </c>
    </row>
    <row r="17" spans="1:6" ht="18" customHeight="1" x14ac:dyDescent="0.35">
      <c r="A17" s="8" t="s">
        <v>130</v>
      </c>
      <c r="B17" s="61" t="s">
        <v>131</v>
      </c>
      <c r="C17" s="61" t="s">
        <v>132</v>
      </c>
      <c r="D17" s="61" t="s">
        <v>133</v>
      </c>
      <c r="E17" s="61" t="s">
        <v>134</v>
      </c>
    </row>
    <row r="21" spans="1:6" ht="18" customHeight="1" x14ac:dyDescent="0.35">
      <c r="A21" s="34"/>
    </row>
    <row r="22" spans="1:6" ht="15.75" customHeight="1" x14ac:dyDescent="0.35">
      <c r="A22" s="1"/>
      <c r="B22" s="1"/>
      <c r="C22" s="1"/>
      <c r="D22" s="1"/>
      <c r="E22" s="1"/>
      <c r="F22" s="1"/>
    </row>
    <row r="23" spans="1:6" ht="15.75" customHeight="1" x14ac:dyDescent="0.35">
      <c r="A23" s="1"/>
      <c r="B23" s="1"/>
      <c r="C23" s="1"/>
      <c r="D23" s="1"/>
      <c r="E23" s="1"/>
      <c r="F23" s="1"/>
    </row>
    <row r="24" spans="1:6" ht="15.75" customHeight="1" x14ac:dyDescent="0.35">
      <c r="A24" s="1"/>
      <c r="B24" s="1"/>
      <c r="C24" s="1"/>
      <c r="D24" s="1"/>
      <c r="E24" s="1"/>
      <c r="F24" s="1"/>
    </row>
    <row r="25" spans="1:6" ht="15.75" customHeight="1" x14ac:dyDescent="0.35">
      <c r="A25" s="1"/>
      <c r="B25" s="1"/>
      <c r="C25" s="1"/>
      <c r="D25" s="1"/>
      <c r="E25" s="1"/>
      <c r="F25" s="1"/>
    </row>
  </sheetData>
  <mergeCells count="5">
    <mergeCell ref="A1:F1"/>
    <mergeCell ref="A22:F22"/>
    <mergeCell ref="A23:F23"/>
    <mergeCell ref="A24:F2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Annual P&amp;L</vt:lpstr>
      <vt:lpstr>DCF &amp; IRR</vt:lpstr>
      <vt:lpstr>Property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2026-03-20T17:04:28Z</dcterms:created>
  <dcterms:modified xsi:type="dcterms:W3CDTF">2026-03-20T17:33:01Z</dcterms:modified>
  <dc:language>en-US</dc:language>
</cp:coreProperties>
</file>